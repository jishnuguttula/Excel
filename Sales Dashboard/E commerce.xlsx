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E:\Excel\"/>
    </mc:Choice>
  </mc:AlternateContent>
  <xr:revisionPtr revIDLastSave="0" documentId="13_ncr:1_{EE61A593-B573-4A4A-8931-6EE52FA9780C}" xr6:coauthVersionLast="47" xr6:coauthVersionMax="47" xr10:uidLastSave="{00000000-0000-0000-0000-000000000000}"/>
  <bookViews>
    <workbookView xWindow="-108" yWindow="-108" windowWidth="23256" windowHeight="13176" xr2:uid="{C3D1404E-B919-4498-9278-A12ADA9D853B}"/>
  </bookViews>
  <sheets>
    <sheet name="Sheet1" sheetId="1" r:id="rId1"/>
  </sheets>
  <definedNames>
    <definedName name="Slicer_Category">#N/A</definedName>
    <definedName name="Slicer_Region">#N/A</definedName>
  </definedNames>
  <calcPr calcId="191029"/>
  <pivotCaches>
    <pivotCache cacheId="9" r:id="rId2"/>
  </pivotCaches>
  <extLst>
    <ext xmlns:x14="http://schemas.microsoft.com/office/spreadsheetml/2009/9/main" uri="{BBE1A952-AA13-448e-AADC-164F8A28A991}">
      <x14:slicerCaches>
        <x14:slicerCache r:id="rId3"/>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5" i="1" l="1"/>
  <c r="I4" i="1"/>
  <c r="I3" i="1"/>
  <c r="F10" i="1"/>
</calcChain>
</file>

<file path=xl/sharedStrings.xml><?xml version="1.0" encoding="utf-8"?>
<sst xmlns="http://schemas.openxmlformats.org/spreadsheetml/2006/main" count="52" uniqueCount="19">
  <si>
    <t>Order ID</t>
  </si>
  <si>
    <t>Date</t>
  </si>
  <si>
    <t>Region</t>
  </si>
  <si>
    <t>Category</t>
  </si>
  <si>
    <t>Product</t>
  </si>
  <si>
    <t>Sales</t>
  </si>
  <si>
    <t>Profit</t>
  </si>
  <si>
    <t>East</t>
  </si>
  <si>
    <t>Tech</t>
  </si>
  <si>
    <t>Laptop</t>
  </si>
  <si>
    <t>West</t>
  </si>
  <si>
    <t>Mobile</t>
  </si>
  <si>
    <t>Office</t>
  </si>
  <si>
    <t>Chair</t>
  </si>
  <si>
    <t>South</t>
  </si>
  <si>
    <t>Table</t>
  </si>
  <si>
    <t>Row Labels</t>
  </si>
  <si>
    <t>Grand Total</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</si>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</sst>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5"/>
      <color theme="0"/>
      <name val="Algerian"/>
      <family val="5"/>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horizontal="center" vertical="center" wrapText="1"/>
    </xf>
    <xf numFmtId="0" fontId="1" fillId="0" borderId="0" xfId="0" applyFont="1" applyAlignment="1">
      <alignment horizontal="center" vertical="center" wrapText="1"/>
    </xf>
    <xf numFmtId="0" fontId="0" fillId="0" borderId="0" xfId="0" applyAlignment="1">
      <alignment horizontal="center"/>
    </xf>
    <xf numFmtId="16" fontId="0" fillId="0" borderId="0" xfId="0" applyNumberFormat="1" applyAlignment="1">
      <alignment horizontal="center" vertical="center" wrapText="1"/>
    </xf>
    <xf numFmtId="0" fontId="0" fillId="0" borderId="0" xfId="0" pivotButton="1"/>
    <xf numFmtId="0" fontId="0" fillId="0" borderId="0" xfId="0" applyAlignment="1">
      <alignment horizontal="left"/>
    </xf>
    <xf numFmtId="0" fontId="0" fillId="0" borderId="0" xfId="0" applyNumberFormat="1"/>
    <xf numFmtId="16" fontId="0" fillId="0" borderId="0" xfId="0" applyNumberFormat="1" applyAlignment="1">
      <alignment horizontal="left"/>
    </xf>
    <xf numFmtId="0" fontId="2"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microsoft.com/office/2007/relationships/slicerCache" Target="slicerCaches/slicerCache1.xml"/><Relationship Id="rId7" Type="http://schemas.openxmlformats.org/officeDocument/2006/relationships/sharedStrings" Target="sharedStrings.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commerce.xlsx]Sheet1!PivotTable1</c:name>
    <c:fmtId val="2"/>
  </c:pivotSource>
  <c:chart>
    <c:title>
      <c:tx>
        <c:rich>
          <a:bodyPr rot="0" spcFirstLastPara="1" vertOverflow="ellipsis" vert="horz" wrap="square" anchor="ctr" anchorCtr="1"/>
          <a:lstStyle/>
          <a:p>
            <a:pPr>
              <a:defRPr sz="1400" b="0" i="0" u="none" strike="noStrike" kern="1200" spc="0" baseline="0">
                <a:ln>
                  <a:solidFill>
                    <a:schemeClr val="bg2">
                      <a:lumMod val="10000"/>
                    </a:schemeClr>
                  </a:solidFill>
                </a:ln>
                <a:solidFill>
                  <a:schemeClr val="tx1">
                    <a:alpha val="88000"/>
                  </a:schemeClr>
                </a:solidFill>
                <a:latin typeface="+mn-lt"/>
                <a:ea typeface="+mn-ea"/>
                <a:cs typeface="+mn-cs"/>
              </a:defRPr>
            </a:pPr>
            <a:r>
              <a:rPr lang="en-IN">
                <a:ln>
                  <a:solidFill>
                    <a:schemeClr val="bg2">
                      <a:lumMod val="10000"/>
                    </a:schemeClr>
                  </a:solidFill>
                </a:ln>
                <a:solidFill>
                  <a:schemeClr val="tx1">
                    <a:alpha val="88000"/>
                  </a:schemeClr>
                </a:solidFill>
              </a:rPr>
              <a:t>Sales</a:t>
            </a:r>
            <a:r>
              <a:rPr lang="en-IN" baseline="0">
                <a:ln>
                  <a:solidFill>
                    <a:schemeClr val="bg2">
                      <a:lumMod val="10000"/>
                    </a:schemeClr>
                  </a:solidFill>
                </a:ln>
                <a:solidFill>
                  <a:schemeClr val="tx1">
                    <a:alpha val="88000"/>
                  </a:schemeClr>
                </a:solidFill>
              </a:rPr>
              <a:t> by Region</a:t>
            </a:r>
            <a:endParaRPr lang="en-IN">
              <a:ln>
                <a:solidFill>
                  <a:schemeClr val="bg2">
                    <a:lumMod val="10000"/>
                  </a:schemeClr>
                </a:solidFill>
              </a:ln>
              <a:solidFill>
                <a:schemeClr val="tx1">
                  <a:alpha val="88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ln>
                <a:solidFill>
                  <a:schemeClr val="bg2">
                    <a:lumMod val="10000"/>
                  </a:schemeClr>
                </a:solidFill>
              </a:ln>
              <a:solidFill>
                <a:schemeClr val="tx1">
                  <a:alpha val="88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Sheet1!$N$2</c:f>
              <c:strCache>
                <c:ptCount val="1"/>
                <c:pt idx="0">
                  <c:v>Total</c:v>
                </c:pt>
              </c:strCache>
            </c:strRef>
          </c:tx>
          <c:spPr>
            <a:solidFill>
              <a:schemeClr val="accent1"/>
            </a:solidFill>
            <a:ln>
              <a:noFill/>
            </a:ln>
            <a:effectLst/>
          </c:spPr>
          <c:invertIfNegative val="0"/>
          <c:cat>
            <c:strRef>
              <c:f>Sheet1!$M$3:$M$6</c:f>
              <c:strCache>
                <c:ptCount val="3"/>
                <c:pt idx="0">
                  <c:v>East</c:v>
                </c:pt>
                <c:pt idx="1">
                  <c:v>South</c:v>
                </c:pt>
                <c:pt idx="2">
                  <c:v>West</c:v>
                </c:pt>
              </c:strCache>
            </c:strRef>
          </c:cat>
          <c:val>
            <c:numRef>
              <c:f>Sheet1!$N$3:$N$6</c:f>
              <c:numCache>
                <c:formatCode>General</c:formatCode>
                <c:ptCount val="3"/>
                <c:pt idx="0">
                  <c:v>120000</c:v>
                </c:pt>
                <c:pt idx="1">
                  <c:v>65000</c:v>
                </c:pt>
                <c:pt idx="2">
                  <c:v>65000</c:v>
                </c:pt>
              </c:numCache>
            </c:numRef>
          </c:val>
          <c:extLst>
            <c:ext xmlns:c16="http://schemas.microsoft.com/office/drawing/2014/chart" uri="{C3380CC4-5D6E-409C-BE32-E72D297353CC}">
              <c16:uniqueId val="{00000000-79C8-40D7-99FF-8A90DEB3E4A4}"/>
            </c:ext>
          </c:extLst>
        </c:ser>
        <c:dLbls>
          <c:showLegendKey val="0"/>
          <c:showVal val="0"/>
          <c:showCatName val="0"/>
          <c:showSerName val="0"/>
          <c:showPercent val="0"/>
          <c:showBubbleSize val="0"/>
        </c:dLbls>
        <c:gapWidth val="219"/>
        <c:overlap val="-27"/>
        <c:axId val="1353574192"/>
        <c:axId val="1353595792"/>
      </c:barChart>
      <c:catAx>
        <c:axId val="1353574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3595792"/>
        <c:crosses val="autoZero"/>
        <c:auto val="1"/>
        <c:lblAlgn val="ctr"/>
        <c:lblOffset val="100"/>
        <c:noMultiLvlLbl val="0"/>
      </c:catAx>
      <c:valAx>
        <c:axId val="13535957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3574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commerce.xlsx]Sheet1!PivotTable2</c:name>
    <c:fmtId val="2"/>
  </c:pivotSource>
  <c:chart>
    <c:title>
      <c:tx>
        <c:rich>
          <a:bodyPr rot="0" spcFirstLastPara="1" vertOverflow="ellipsis" vert="horz" wrap="square" anchor="ctr" anchorCtr="1"/>
          <a:lstStyle/>
          <a:p>
            <a:pPr>
              <a:defRPr sz="1400" b="0" i="0" u="none" strike="noStrike" kern="1200" spc="0" baseline="0">
                <a:ln>
                  <a:solidFill>
                    <a:schemeClr val="bg2">
                      <a:lumMod val="10000"/>
                    </a:schemeClr>
                  </a:solidFill>
                </a:ln>
                <a:solidFill>
                  <a:schemeClr val="tx1">
                    <a:lumMod val="65000"/>
                    <a:lumOff val="35000"/>
                  </a:schemeClr>
                </a:solidFill>
                <a:latin typeface="+mn-lt"/>
                <a:ea typeface="+mn-ea"/>
                <a:cs typeface="+mn-cs"/>
              </a:defRPr>
            </a:pPr>
            <a:r>
              <a:rPr lang="en-IN">
                <a:ln>
                  <a:solidFill>
                    <a:schemeClr val="bg2">
                      <a:lumMod val="10000"/>
                    </a:schemeClr>
                  </a:solidFill>
                </a:ln>
              </a:rPr>
              <a:t>Sales</a:t>
            </a:r>
            <a:r>
              <a:rPr lang="en-IN" baseline="0">
                <a:ln>
                  <a:solidFill>
                    <a:schemeClr val="bg2">
                      <a:lumMod val="10000"/>
                    </a:schemeClr>
                  </a:solidFill>
                </a:ln>
              </a:rPr>
              <a:t> by Category</a:t>
            </a:r>
            <a:endParaRPr lang="en-IN">
              <a:ln>
                <a:solidFill>
                  <a:schemeClr val="bg2">
                    <a:lumMod val="10000"/>
                  </a:schemeClr>
                </a:solidFill>
              </a:ln>
            </a:endParaRPr>
          </a:p>
        </c:rich>
      </c:tx>
      <c:overlay val="0"/>
      <c:spPr>
        <a:noFill/>
        <a:ln>
          <a:noFill/>
        </a:ln>
        <a:effectLst/>
      </c:spPr>
      <c:txPr>
        <a:bodyPr rot="0" spcFirstLastPara="1" vertOverflow="ellipsis" vert="horz" wrap="square" anchor="ctr" anchorCtr="1"/>
        <a:lstStyle/>
        <a:p>
          <a:pPr>
            <a:defRPr sz="1400" b="0" i="0" u="none" strike="noStrike" kern="1200" spc="0" baseline="0">
              <a:ln>
                <a:solidFill>
                  <a:schemeClr val="bg2">
                    <a:lumMod val="10000"/>
                  </a:schemeClr>
                </a:solidFill>
              </a:ln>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Sheet1!$K$2</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Sheet1!$J$3:$J$5</c:f>
              <c:strCache>
                <c:ptCount val="2"/>
                <c:pt idx="0">
                  <c:v>Office</c:v>
                </c:pt>
                <c:pt idx="1">
                  <c:v>Tech</c:v>
                </c:pt>
              </c:strCache>
            </c:strRef>
          </c:cat>
          <c:val>
            <c:numRef>
              <c:f>Sheet1!$K$3:$K$5</c:f>
              <c:numCache>
                <c:formatCode>General</c:formatCode>
                <c:ptCount val="2"/>
                <c:pt idx="0">
                  <c:v>45000</c:v>
                </c:pt>
                <c:pt idx="1">
                  <c:v>205000</c:v>
                </c:pt>
              </c:numCache>
            </c:numRef>
          </c:val>
          <c:extLst>
            <c:ext xmlns:c16="http://schemas.microsoft.com/office/drawing/2014/chart" uri="{C3380CC4-5D6E-409C-BE32-E72D297353CC}">
              <c16:uniqueId val="{00000000-ABA5-4E15-9BA5-DCEF87853C5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commerce.xlsx]Sheet1!PivotTable3</c:name>
    <c:fmtId val="1"/>
  </c:pivotSource>
  <c:chart>
    <c:title>
      <c:tx>
        <c:rich>
          <a:bodyPr rot="0" spcFirstLastPara="1" vertOverflow="ellipsis" vert="horz" wrap="square" anchor="ctr" anchorCtr="1"/>
          <a:lstStyle/>
          <a:p>
            <a:pPr>
              <a:defRPr sz="1400" b="0" i="0" u="none" strike="noStrike" kern="1200" spc="0" baseline="0">
                <a:ln>
                  <a:solidFill>
                    <a:schemeClr val="bg2">
                      <a:lumMod val="10000"/>
                    </a:schemeClr>
                  </a:solidFill>
                </a:ln>
                <a:solidFill>
                  <a:schemeClr val="tx1"/>
                </a:solidFill>
                <a:latin typeface="+mn-lt"/>
                <a:ea typeface="+mn-ea"/>
                <a:cs typeface="+mn-cs"/>
              </a:defRPr>
            </a:pPr>
            <a:r>
              <a:rPr lang="en-IN">
                <a:ln>
                  <a:solidFill>
                    <a:schemeClr val="bg2">
                      <a:lumMod val="10000"/>
                    </a:schemeClr>
                  </a:solidFill>
                </a:ln>
                <a:solidFill>
                  <a:schemeClr val="tx1"/>
                </a:solidFill>
              </a:rPr>
              <a:t>Sales</a:t>
            </a:r>
            <a:r>
              <a:rPr lang="en-IN" baseline="0">
                <a:ln>
                  <a:solidFill>
                    <a:schemeClr val="bg2">
                      <a:lumMod val="10000"/>
                    </a:schemeClr>
                  </a:solidFill>
                </a:ln>
                <a:solidFill>
                  <a:schemeClr val="tx1"/>
                </a:solidFill>
              </a:rPr>
              <a:t> Trend</a:t>
            </a:r>
            <a:endParaRPr lang="en-IN">
              <a:ln>
                <a:solidFill>
                  <a:schemeClr val="bg2">
                    <a:lumMod val="10000"/>
                  </a:schemeClr>
                </a:solidFill>
              </a:ln>
              <a:solidFill>
                <a:schemeClr val="tx1"/>
              </a:solidFill>
            </a:endParaRPr>
          </a:p>
        </c:rich>
      </c:tx>
      <c:layout>
        <c:manualLayout>
          <c:xMode val="edge"/>
          <c:yMode val="edge"/>
          <c:x val="0.39149102453473988"/>
          <c:y val="0.1050951302327022"/>
        </c:manualLayout>
      </c:layout>
      <c:overlay val="0"/>
      <c:spPr>
        <a:noFill/>
        <a:ln>
          <a:noFill/>
        </a:ln>
        <a:effectLst/>
      </c:spPr>
      <c:txPr>
        <a:bodyPr rot="0" spcFirstLastPara="1" vertOverflow="ellipsis" vert="horz" wrap="square" anchor="ctr" anchorCtr="1"/>
        <a:lstStyle/>
        <a:p>
          <a:pPr>
            <a:defRPr sz="1400" b="0" i="0" u="none" strike="noStrike" kern="1200" spc="0" baseline="0">
              <a:ln>
                <a:solidFill>
                  <a:schemeClr val="bg2">
                    <a:lumMod val="10000"/>
                  </a:schemeClr>
                </a:solidFill>
              </a:ln>
              <a:solidFill>
                <a:schemeClr val="tx1"/>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704133858267719"/>
          <c:y val="0.34950240594925636"/>
          <c:w val="0.70925196850393701"/>
          <c:h val="0.53774387576552929"/>
        </c:manualLayout>
      </c:layout>
      <c:lineChart>
        <c:grouping val="standard"/>
        <c:varyColors val="0"/>
        <c:ser>
          <c:idx val="0"/>
          <c:order val="0"/>
          <c:tx>
            <c:strRef>
              <c:f>Sheet1!$U$2</c:f>
              <c:strCache>
                <c:ptCount val="1"/>
                <c:pt idx="0">
                  <c:v>Total</c:v>
                </c:pt>
              </c:strCache>
            </c:strRef>
          </c:tx>
          <c:spPr>
            <a:ln w="28575" cap="rnd">
              <a:solidFill>
                <a:schemeClr val="accent1"/>
              </a:solidFill>
              <a:round/>
            </a:ln>
            <a:effectLst/>
          </c:spPr>
          <c:marker>
            <c:symbol val="none"/>
          </c:marker>
          <c:cat>
            <c:strRef>
              <c:f>Sheet1!$T$3:$T$11</c:f>
              <c:strCache>
                <c:ptCount val="8"/>
                <c:pt idx="0">
                  <c:v>01-Jan</c:v>
                </c:pt>
                <c:pt idx="1">
                  <c:v>02-Jan</c:v>
                </c:pt>
                <c:pt idx="2">
                  <c:v>03-Jan</c:v>
                </c:pt>
                <c:pt idx="3">
                  <c:v>04-Jan</c:v>
                </c:pt>
                <c:pt idx="4">
                  <c:v>05-Jan</c:v>
                </c:pt>
                <c:pt idx="5">
                  <c:v>06-Jan</c:v>
                </c:pt>
                <c:pt idx="6">
                  <c:v>07-Jan</c:v>
                </c:pt>
                <c:pt idx="7">
                  <c:v>08-Jan</c:v>
                </c:pt>
              </c:strCache>
            </c:strRef>
          </c:cat>
          <c:val>
            <c:numRef>
              <c:f>Sheet1!$U$3:$U$11</c:f>
              <c:numCache>
                <c:formatCode>General</c:formatCode>
                <c:ptCount val="8"/>
                <c:pt idx="0">
                  <c:v>50000</c:v>
                </c:pt>
                <c:pt idx="1">
                  <c:v>30000</c:v>
                </c:pt>
                <c:pt idx="2">
                  <c:v>10000</c:v>
                </c:pt>
                <c:pt idx="3">
                  <c:v>40000</c:v>
                </c:pt>
                <c:pt idx="4">
                  <c:v>20000</c:v>
                </c:pt>
                <c:pt idx="5">
                  <c:v>25000</c:v>
                </c:pt>
                <c:pt idx="6">
                  <c:v>60000</c:v>
                </c:pt>
                <c:pt idx="7">
                  <c:v>15000</c:v>
                </c:pt>
              </c:numCache>
            </c:numRef>
          </c:val>
          <c:smooth val="0"/>
          <c:extLst>
            <c:ext xmlns:c16="http://schemas.microsoft.com/office/drawing/2014/chart" uri="{C3380CC4-5D6E-409C-BE32-E72D297353CC}">
              <c16:uniqueId val="{00000000-070A-42E4-B6AE-45AEAB55E459}"/>
            </c:ext>
          </c:extLst>
        </c:ser>
        <c:dLbls>
          <c:showLegendKey val="0"/>
          <c:showVal val="0"/>
          <c:showCatName val="0"/>
          <c:showSerName val="0"/>
          <c:showPercent val="0"/>
          <c:showBubbleSize val="0"/>
        </c:dLbls>
        <c:smooth val="0"/>
        <c:axId val="1571774864"/>
        <c:axId val="1571771984"/>
      </c:lineChart>
      <c:catAx>
        <c:axId val="1571774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1771984"/>
        <c:crosses val="autoZero"/>
        <c:auto val="1"/>
        <c:lblAlgn val="ctr"/>
        <c:lblOffset val="100"/>
        <c:noMultiLvlLbl val="0"/>
      </c:catAx>
      <c:valAx>
        <c:axId val="1571771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1774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commerce.xlsx]Sheet1!PivotTable4</c:name>
    <c:fmtId val="1"/>
  </c:pivotSource>
  <c:chart>
    <c:title>
      <c:tx>
        <c:rich>
          <a:bodyPr rot="0" spcFirstLastPara="1" vertOverflow="ellipsis" vert="horz" wrap="square" anchor="ctr" anchorCtr="1"/>
          <a:lstStyle/>
          <a:p>
            <a:pPr>
              <a:defRPr sz="1400" b="0" i="0" u="none" strike="noStrike" kern="1200" spc="0" baseline="0">
                <a:ln>
                  <a:solidFill>
                    <a:schemeClr val="bg2">
                      <a:lumMod val="10000"/>
                    </a:schemeClr>
                  </a:solidFill>
                </a:ln>
                <a:solidFill>
                  <a:schemeClr val="tx1">
                    <a:lumMod val="65000"/>
                    <a:lumOff val="35000"/>
                  </a:schemeClr>
                </a:solidFill>
                <a:latin typeface="+mn-lt"/>
                <a:ea typeface="+mn-ea"/>
                <a:cs typeface="+mn-cs"/>
              </a:defRPr>
            </a:pPr>
            <a:r>
              <a:rPr lang="en-IN">
                <a:ln>
                  <a:solidFill>
                    <a:schemeClr val="bg2">
                      <a:lumMod val="10000"/>
                    </a:schemeClr>
                  </a:solidFill>
                </a:ln>
              </a:rPr>
              <a:t>Profit</a:t>
            </a:r>
            <a:r>
              <a:rPr lang="en-IN" baseline="0">
                <a:ln>
                  <a:solidFill>
                    <a:schemeClr val="bg2">
                      <a:lumMod val="10000"/>
                    </a:schemeClr>
                  </a:solidFill>
                </a:ln>
              </a:rPr>
              <a:t> by Product</a:t>
            </a:r>
            <a:endParaRPr lang="en-IN">
              <a:ln>
                <a:solidFill>
                  <a:schemeClr val="bg2">
                    <a:lumMod val="10000"/>
                  </a:schemeClr>
                </a:solidFill>
              </a:ln>
            </a:endParaRPr>
          </a:p>
        </c:rich>
      </c:tx>
      <c:overlay val="0"/>
      <c:spPr>
        <a:noFill/>
        <a:ln>
          <a:noFill/>
        </a:ln>
        <a:effectLst/>
      </c:spPr>
      <c:txPr>
        <a:bodyPr rot="0" spcFirstLastPara="1" vertOverflow="ellipsis" vert="horz" wrap="square" anchor="ctr" anchorCtr="1"/>
        <a:lstStyle/>
        <a:p>
          <a:pPr>
            <a:defRPr sz="1400" b="0" i="0" u="none" strike="noStrike" kern="1200" spc="0" baseline="0">
              <a:ln>
                <a:solidFill>
                  <a:schemeClr val="bg2">
                    <a:lumMod val="10000"/>
                  </a:schemeClr>
                </a:solidFill>
              </a:ln>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Sheet1!$Q$3</c:f>
              <c:strCache>
                <c:ptCount val="1"/>
                <c:pt idx="0">
                  <c:v>Total</c:v>
                </c:pt>
              </c:strCache>
            </c:strRef>
          </c:tx>
          <c:spPr>
            <a:solidFill>
              <a:schemeClr val="accent1"/>
            </a:solidFill>
            <a:ln>
              <a:noFill/>
            </a:ln>
            <a:effectLst/>
          </c:spPr>
          <c:invertIfNegative val="0"/>
          <c:cat>
            <c:strRef>
              <c:f>Sheet1!$P$4:$P$8</c:f>
              <c:strCache>
                <c:ptCount val="4"/>
                <c:pt idx="0">
                  <c:v>Chair</c:v>
                </c:pt>
                <c:pt idx="1">
                  <c:v>Laptop</c:v>
                </c:pt>
                <c:pt idx="2">
                  <c:v>Mobile</c:v>
                </c:pt>
                <c:pt idx="3">
                  <c:v>Table</c:v>
                </c:pt>
              </c:strCache>
            </c:strRef>
          </c:cat>
          <c:val>
            <c:numRef>
              <c:f>Sheet1!$Q$4:$Q$8</c:f>
              <c:numCache>
                <c:formatCode>General</c:formatCode>
                <c:ptCount val="4"/>
                <c:pt idx="0">
                  <c:v>25000</c:v>
                </c:pt>
                <c:pt idx="1">
                  <c:v>150000</c:v>
                </c:pt>
                <c:pt idx="2">
                  <c:v>55000</c:v>
                </c:pt>
                <c:pt idx="3">
                  <c:v>20000</c:v>
                </c:pt>
              </c:numCache>
            </c:numRef>
          </c:val>
          <c:extLst>
            <c:ext xmlns:c16="http://schemas.microsoft.com/office/drawing/2014/chart" uri="{C3380CC4-5D6E-409C-BE32-E72D297353CC}">
              <c16:uniqueId val="{00000000-C269-4460-B307-8B447A2CFC8F}"/>
            </c:ext>
          </c:extLst>
        </c:ser>
        <c:dLbls>
          <c:showLegendKey val="0"/>
          <c:showVal val="0"/>
          <c:showCatName val="0"/>
          <c:showSerName val="0"/>
          <c:showPercent val="0"/>
          <c:showBubbleSize val="0"/>
        </c:dLbls>
        <c:gapWidth val="219"/>
        <c:overlap val="-27"/>
        <c:axId val="1571780144"/>
        <c:axId val="1571778224"/>
      </c:barChart>
      <c:catAx>
        <c:axId val="1571780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1778224"/>
        <c:crosses val="autoZero"/>
        <c:auto val="1"/>
        <c:lblAlgn val="ctr"/>
        <c:lblOffset val="100"/>
        <c:noMultiLvlLbl val="0"/>
      </c:catAx>
      <c:valAx>
        <c:axId val="15717782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1780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198120</xdr:colOff>
      <xdr:row>21</xdr:row>
      <xdr:rowOff>137160</xdr:rowOff>
    </xdr:from>
    <xdr:to>
      <xdr:col>4</xdr:col>
      <xdr:colOff>419100</xdr:colOff>
      <xdr:row>37</xdr:row>
      <xdr:rowOff>30480</xdr:rowOff>
    </xdr:to>
    <xdr:graphicFrame macro="">
      <xdr:nvGraphicFramePr>
        <xdr:cNvPr id="2" name="Chart 1">
          <a:extLst>
            <a:ext uri="{FF2B5EF4-FFF2-40B4-BE49-F238E27FC236}">
              <a16:creationId xmlns:a16="http://schemas.microsoft.com/office/drawing/2014/main" id="{138941ED-B2FE-A459-EAEC-0C12DAF689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378460</xdr:colOff>
      <xdr:row>21</xdr:row>
      <xdr:rowOff>137160</xdr:rowOff>
    </xdr:from>
    <xdr:to>
      <xdr:col>14</xdr:col>
      <xdr:colOff>226060</xdr:colOff>
      <xdr:row>37</xdr:row>
      <xdr:rowOff>22860</xdr:rowOff>
    </xdr:to>
    <xdr:graphicFrame macro="">
      <xdr:nvGraphicFramePr>
        <xdr:cNvPr id="3" name="Chart 2">
          <a:extLst>
            <a:ext uri="{FF2B5EF4-FFF2-40B4-BE49-F238E27FC236}">
              <a16:creationId xmlns:a16="http://schemas.microsoft.com/office/drawing/2014/main" id="{CADF94A6-1708-B248-840A-3DEC2A1B72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627380</xdr:colOff>
      <xdr:row>21</xdr:row>
      <xdr:rowOff>137160</xdr:rowOff>
    </xdr:from>
    <xdr:to>
      <xdr:col>9</xdr:col>
      <xdr:colOff>170180</xdr:colOff>
      <xdr:row>37</xdr:row>
      <xdr:rowOff>30480</xdr:rowOff>
    </xdr:to>
    <xdr:graphicFrame macro="">
      <xdr:nvGraphicFramePr>
        <xdr:cNvPr id="4" name="Chart 3">
          <a:extLst>
            <a:ext uri="{FF2B5EF4-FFF2-40B4-BE49-F238E27FC236}">
              <a16:creationId xmlns:a16="http://schemas.microsoft.com/office/drawing/2014/main" id="{68891A4D-FE91-7F80-01D2-012191E9A0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434340</xdr:colOff>
      <xdr:row>21</xdr:row>
      <xdr:rowOff>137160</xdr:rowOff>
    </xdr:from>
    <xdr:to>
      <xdr:col>21</xdr:col>
      <xdr:colOff>304800</xdr:colOff>
      <xdr:row>37</xdr:row>
      <xdr:rowOff>22860</xdr:rowOff>
    </xdr:to>
    <xdr:graphicFrame macro="">
      <xdr:nvGraphicFramePr>
        <xdr:cNvPr id="5" name="Chart 4">
          <a:extLst>
            <a:ext uri="{FF2B5EF4-FFF2-40B4-BE49-F238E27FC236}">
              <a16:creationId xmlns:a16="http://schemas.microsoft.com/office/drawing/2014/main" id="{B5F2E07A-1C63-D389-1AE6-04637F1011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213360</xdr:colOff>
      <xdr:row>14</xdr:row>
      <xdr:rowOff>114301</xdr:rowOff>
    </xdr:from>
    <xdr:to>
      <xdr:col>2</xdr:col>
      <xdr:colOff>358140</xdr:colOff>
      <xdr:row>21</xdr:row>
      <xdr:rowOff>15241</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B135D3A1-735C-E2B1-8978-45F88CD672B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13360" y="4906434"/>
              <a:ext cx="1812713" cy="12048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579120</xdr:colOff>
      <xdr:row>14</xdr:row>
      <xdr:rowOff>45721</xdr:rowOff>
    </xdr:from>
    <xdr:to>
      <xdr:col>19</xdr:col>
      <xdr:colOff>563880</xdr:colOff>
      <xdr:row>19</xdr:row>
      <xdr:rowOff>30481</xdr:rowOff>
    </xdr:to>
    <mc:AlternateContent xmlns:mc="http://schemas.openxmlformats.org/markup-compatibility/2006">
      <mc:Choice xmlns:a14="http://schemas.microsoft.com/office/drawing/2010/main" Requires="a14">
        <xdr:graphicFrame macro="">
          <xdr:nvGraphicFramePr>
            <xdr:cNvPr id="7" name="Category">
              <a:extLst>
                <a:ext uri="{FF2B5EF4-FFF2-40B4-BE49-F238E27FC236}">
                  <a16:creationId xmlns:a16="http://schemas.microsoft.com/office/drawing/2014/main" id="{E13C135D-B128-7844-7749-A1F672CE34C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2212320" y="4837854"/>
              <a:ext cx="1813560" cy="9160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312420</xdr:colOff>
      <xdr:row>15</xdr:row>
      <xdr:rowOff>15240</xdr:rowOff>
    </xdr:from>
    <xdr:to>
      <xdr:col>8</xdr:col>
      <xdr:colOff>53340</xdr:colOff>
      <xdr:row>20</xdr:row>
      <xdr:rowOff>15240</xdr:rowOff>
    </xdr:to>
    <xdr:sp macro="" textlink="$I$3">
      <xdr:nvSpPr>
        <xdr:cNvPr id="8" name="Rectangle: Rounded Corners 7">
          <a:extLst>
            <a:ext uri="{FF2B5EF4-FFF2-40B4-BE49-F238E27FC236}">
              <a16:creationId xmlns:a16="http://schemas.microsoft.com/office/drawing/2014/main" id="{3A101B7F-2574-E7A5-6EBB-C9AA97021D96}"/>
            </a:ext>
          </a:extLst>
        </xdr:cNvPr>
        <xdr:cNvSpPr/>
      </xdr:nvSpPr>
      <xdr:spPr>
        <a:xfrm>
          <a:off x="4053840" y="2758440"/>
          <a:ext cx="1760220" cy="9144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0" algn="ctr"/>
          <a:fld id="{D425D3B3-3F53-4C04-84AC-EFC2780FCA9F}" type="TxLink">
            <a:rPr lang="en-US" sz="1500" b="0" i="0" u="none" strike="noStrike">
              <a:solidFill>
                <a:srgbClr val="FFFFFF"/>
              </a:solidFill>
              <a:latin typeface="Algerian"/>
              <a:ea typeface="Calibri"/>
              <a:cs typeface="Calibri"/>
            </a:rPr>
            <a:t> Total Sales : 250000</a:t>
          </a:fld>
          <a:endParaRPr lang="en-US" sz="1100"/>
        </a:p>
      </xdr:txBody>
    </xdr:sp>
    <xdr:clientData/>
  </xdr:twoCellAnchor>
  <xdr:twoCellAnchor>
    <xdr:from>
      <xdr:col>9</xdr:col>
      <xdr:colOff>53340</xdr:colOff>
      <xdr:row>15</xdr:row>
      <xdr:rowOff>15240</xdr:rowOff>
    </xdr:from>
    <xdr:to>
      <xdr:col>11</xdr:col>
      <xdr:colOff>403860</xdr:colOff>
      <xdr:row>20</xdr:row>
      <xdr:rowOff>15240</xdr:rowOff>
    </xdr:to>
    <xdr:sp macro="" textlink="$I$4">
      <xdr:nvSpPr>
        <xdr:cNvPr id="9" name="Rectangle: Rounded Corners 8">
          <a:extLst>
            <a:ext uri="{FF2B5EF4-FFF2-40B4-BE49-F238E27FC236}">
              <a16:creationId xmlns:a16="http://schemas.microsoft.com/office/drawing/2014/main" id="{BDD13B63-3F25-4ABF-AFFD-C201197BFEA0}"/>
            </a:ext>
          </a:extLst>
        </xdr:cNvPr>
        <xdr:cNvSpPr/>
      </xdr:nvSpPr>
      <xdr:spPr>
        <a:xfrm>
          <a:off x="6675120" y="2758440"/>
          <a:ext cx="1760220" cy="9144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05ADB84-6504-46C9-A65F-3593BD8E5E4A}" type="TxLink">
            <a:rPr lang="en-US" sz="1500" b="0" i="0" u="none" strike="noStrike">
              <a:solidFill>
                <a:srgbClr val="FFFFFF"/>
              </a:solidFill>
              <a:latin typeface="Algerian"/>
            </a:rPr>
            <a:t>Total Profit : 41,500</a:t>
          </a:fld>
          <a:endParaRPr lang="en-IN" sz="1100"/>
        </a:p>
      </xdr:txBody>
    </xdr:sp>
    <xdr:clientData/>
  </xdr:twoCellAnchor>
  <xdr:twoCellAnchor>
    <xdr:from>
      <xdr:col>12</xdr:col>
      <xdr:colOff>655320</xdr:colOff>
      <xdr:row>15</xdr:row>
      <xdr:rowOff>15240</xdr:rowOff>
    </xdr:from>
    <xdr:to>
      <xdr:col>15</xdr:col>
      <xdr:colOff>144780</xdr:colOff>
      <xdr:row>20</xdr:row>
      <xdr:rowOff>15240</xdr:rowOff>
    </xdr:to>
    <xdr:sp macro="" textlink="$I$5">
      <xdr:nvSpPr>
        <xdr:cNvPr id="10" name="Rectangle: Rounded Corners 9">
          <a:extLst>
            <a:ext uri="{FF2B5EF4-FFF2-40B4-BE49-F238E27FC236}">
              <a16:creationId xmlns:a16="http://schemas.microsoft.com/office/drawing/2014/main" id="{FD798B63-338B-4EBD-8E60-2C08EF8428E3}"/>
            </a:ext>
          </a:extLst>
        </xdr:cNvPr>
        <xdr:cNvSpPr/>
      </xdr:nvSpPr>
      <xdr:spPr>
        <a:xfrm>
          <a:off x="9296400" y="2758440"/>
          <a:ext cx="1760220" cy="9144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712C806-4180-47DE-B6FD-ADBE1DD3742D}" type="TxLink">
            <a:rPr lang="en-US" sz="1500" b="0" i="0" u="none" strike="noStrike">
              <a:solidFill>
                <a:srgbClr val="FFFFFF"/>
              </a:solidFill>
              <a:latin typeface="Algerian"/>
            </a:rPr>
            <a:t>Average Profit : 5,188</a:t>
          </a:fld>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07.768644675925" createdVersion="8" refreshedVersion="8" minRefreshableVersion="3" recordCount="8" xr:uid="{6AE47F81-8A50-4BD5-8D39-F939F7D321CC}">
  <cacheSource type="worksheet">
    <worksheetSource ref="A1:G9" sheet="Sheet1"/>
  </cacheSource>
  <cacheFields count="7">
    <cacheField name="Order ID" numFmtId="0">
      <sharedItems containsSemiMixedTypes="0" containsString="0" containsNumber="1" containsInteger="1" minValue="1001" maxValue="1008"/>
    </cacheField>
    <cacheField name="Date" numFmtId="16">
      <sharedItems containsSemiMixedTypes="0" containsNonDate="0" containsDate="1" containsString="0" minDate="2026-01-01T00:00:00" maxDate="2026-01-09T00:00:00" count="8">
        <d v="2026-01-01T00:00:00"/>
        <d v="2026-01-02T00:00:00"/>
        <d v="2026-01-03T00:00:00"/>
        <d v="2026-01-04T00:00:00"/>
        <d v="2026-01-05T00:00:00"/>
        <d v="2026-01-06T00:00:00"/>
        <d v="2026-01-07T00:00:00"/>
        <d v="2026-01-08T00:00:00"/>
      </sharedItems>
    </cacheField>
    <cacheField name="Region" numFmtId="0">
      <sharedItems count="3">
        <s v="East"/>
        <s v="West"/>
        <s v="South"/>
      </sharedItems>
    </cacheField>
    <cacheField name="Category" numFmtId="0">
      <sharedItems count="2">
        <s v="Tech"/>
        <s v="Office"/>
      </sharedItems>
    </cacheField>
    <cacheField name="Product" numFmtId="0">
      <sharedItems count="4">
        <s v="Laptop"/>
        <s v="Mobile"/>
        <s v="Chair"/>
        <s v="Table"/>
      </sharedItems>
    </cacheField>
    <cacheField name="Sales" numFmtId="0">
      <sharedItems containsSemiMixedTypes="0" containsString="0" containsNumber="1" containsInteger="1" minValue="10000" maxValue="60000"/>
    </cacheField>
    <cacheField name="Profit" numFmtId="0">
      <sharedItems containsSemiMixedTypes="0" containsString="0" containsNumber="1" containsInteger="1" minValue="2000" maxValue="10000"/>
    </cacheField>
  </cacheFields>
  <extLst>
    <ext xmlns:x14="http://schemas.microsoft.com/office/spreadsheetml/2009/9/main" uri="{725AE2AE-9491-48be-B2B4-4EB974FC3084}">
      <x14:pivotCacheDefinition pivotCacheId="19224601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n v="1001"/>
    <x v="0"/>
    <x v="0"/>
    <x v="0"/>
    <x v="0"/>
    <n v="50000"/>
    <n v="8000"/>
  </r>
  <r>
    <n v="1002"/>
    <x v="1"/>
    <x v="1"/>
    <x v="0"/>
    <x v="1"/>
    <n v="30000"/>
    <n v="5000"/>
  </r>
  <r>
    <n v="1003"/>
    <x v="2"/>
    <x v="0"/>
    <x v="1"/>
    <x v="2"/>
    <n v="10000"/>
    <n v="2000"/>
  </r>
  <r>
    <n v="1004"/>
    <x v="3"/>
    <x v="2"/>
    <x v="0"/>
    <x v="0"/>
    <n v="40000"/>
    <n v="7000"/>
  </r>
  <r>
    <n v="1005"/>
    <x v="4"/>
    <x v="1"/>
    <x v="1"/>
    <x v="3"/>
    <n v="20000"/>
    <n v="3000"/>
  </r>
  <r>
    <n v="1006"/>
    <x v="5"/>
    <x v="2"/>
    <x v="0"/>
    <x v="1"/>
    <n v="25000"/>
    <n v="4000"/>
  </r>
  <r>
    <n v="1007"/>
    <x v="6"/>
    <x v="0"/>
    <x v="0"/>
    <x v="0"/>
    <n v="60000"/>
    <n v="10000"/>
  </r>
  <r>
    <n v="1008"/>
    <x v="7"/>
    <x v="1"/>
    <x v="1"/>
    <x v="2"/>
    <n v="15000"/>
    <n v="25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CE56E24-9329-4A35-9A0A-062F56FD8FEC}" name="PivotTable4"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P3:Q8" firstHeaderRow="1" firstDataRow="1" firstDataCol="1"/>
  <pivotFields count="7">
    <pivotField showAll="0"/>
    <pivotField numFmtId="16" showAll="0"/>
    <pivotField showAll="0"/>
    <pivotField showAll="0"/>
    <pivotField axis="axisRow" showAll="0">
      <items count="5">
        <item x="2"/>
        <item x="0"/>
        <item x="1"/>
        <item x="3"/>
        <item t="default"/>
      </items>
    </pivotField>
    <pivotField dataField="1" showAll="0"/>
    <pivotField showAll="0"/>
  </pivotFields>
  <rowFields count="1">
    <field x="4"/>
  </rowFields>
  <rowItems count="5">
    <i>
      <x/>
    </i>
    <i>
      <x v="1"/>
    </i>
    <i>
      <x v="2"/>
    </i>
    <i>
      <x v="3"/>
    </i>
    <i t="grand">
      <x/>
    </i>
  </rowItems>
  <colItems count="1">
    <i/>
  </colItems>
  <dataFields count="1">
    <dataField name="Sum of Sales" fld="5"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B1918B6-943B-40FB-9FB4-04A0AAF28743}" name="PivotTable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T2:U11" firstHeaderRow="1" firstDataRow="1" firstDataCol="1"/>
  <pivotFields count="7">
    <pivotField showAll="0"/>
    <pivotField axis="axisRow" numFmtId="16" showAll="0">
      <items count="9">
        <item x="0"/>
        <item x="1"/>
        <item x="2"/>
        <item x="3"/>
        <item x="4"/>
        <item x="5"/>
        <item x="6"/>
        <item x="7"/>
        <item t="default"/>
      </items>
    </pivotField>
    <pivotField showAll="0"/>
    <pivotField showAll="0"/>
    <pivotField showAll="0"/>
    <pivotField dataField="1" showAll="0"/>
    <pivotField showAll="0"/>
  </pivotFields>
  <rowFields count="1">
    <field x="1"/>
  </rowFields>
  <rowItems count="9">
    <i>
      <x/>
    </i>
    <i>
      <x v="1"/>
    </i>
    <i>
      <x v="2"/>
    </i>
    <i>
      <x v="3"/>
    </i>
    <i>
      <x v="4"/>
    </i>
    <i>
      <x v="5"/>
    </i>
    <i>
      <x v="6"/>
    </i>
    <i>
      <x v="7"/>
    </i>
    <i t="grand">
      <x/>
    </i>
  </rowItems>
  <colItems count="1">
    <i/>
  </colItems>
  <dataFields count="1">
    <dataField name="Sum of Sales" fld="5"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FA26E78-A1E2-4590-89E6-0CA3B08D36F2}"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J2:K5" firstHeaderRow="1" firstDataRow="1" firstDataCol="1"/>
  <pivotFields count="7">
    <pivotField showAll="0"/>
    <pivotField numFmtId="16" showAll="0"/>
    <pivotField showAll="0"/>
    <pivotField axis="axisRow" showAll="0">
      <items count="3">
        <item x="1"/>
        <item x="0"/>
        <item t="default"/>
      </items>
    </pivotField>
    <pivotField showAll="0"/>
    <pivotField dataField="1" showAll="0"/>
    <pivotField showAll="0"/>
  </pivotFields>
  <rowFields count="1">
    <field x="3"/>
  </rowFields>
  <rowItems count="3">
    <i>
      <x/>
    </i>
    <i>
      <x v="1"/>
    </i>
    <i t="grand">
      <x/>
    </i>
  </rowItems>
  <colItems count="1">
    <i/>
  </colItems>
  <dataFields count="1">
    <dataField name="Sum of Sales" fld="5" baseField="0"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EF4C0AF-86FA-4EA0-9D29-FCBA8F7FD30D}"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M2:N6" firstHeaderRow="1" firstDataRow="1" firstDataCol="1"/>
  <pivotFields count="7">
    <pivotField showAll="0"/>
    <pivotField numFmtId="16" showAll="0"/>
    <pivotField axis="axisRow" showAll="0">
      <items count="4">
        <item x="0"/>
        <item x="2"/>
        <item x="1"/>
        <item t="default"/>
      </items>
    </pivotField>
    <pivotField showAll="0">
      <items count="3">
        <item x="1"/>
        <item x="0"/>
        <item t="default"/>
      </items>
    </pivotField>
    <pivotField showAll="0"/>
    <pivotField dataField="1" showAll="0"/>
    <pivotField showAll="0"/>
  </pivotFields>
  <rowFields count="1">
    <field x="2"/>
  </rowFields>
  <rowItems count="4">
    <i>
      <x/>
    </i>
    <i>
      <x v="1"/>
    </i>
    <i>
      <x v="2"/>
    </i>
    <i t="grand">
      <x/>
    </i>
  </rowItems>
  <colItems count="1">
    <i/>
  </colItems>
  <dataFields count="1">
    <dataField name="Sum of Sales" fld="5" baseField="0"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E9528A2-DD5E-41B0-8765-862CFA8EAB39}" sourceName="Category">
  <pivotTables>
    <pivotTable tabId="1" name="PivotTable1"/>
  </pivotTables>
  <data>
    <tabular pivotCacheId="1922460130">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303E60A-0558-43D3-9F1B-F0DDD1322D47}" sourceName="Region">
  <pivotTables>
    <pivotTable tabId="1" name="PivotTable1"/>
  </pivotTables>
  <data>
    <tabular pivotCacheId="1922460130">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9E55DDD4-E937-4FE3-A334-F4D9CDC72030}" cache="Slicer_Category" caption="Category" rowHeight="234950"/>
  <slicer name="Region" xr10:uid="{6FA2D4B7-9D27-40AF-B828-BBA81A591169}"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6E8E8-63FC-4342-B2EB-3A53235F12BA}">
  <dimension ref="A1:U30"/>
  <sheetViews>
    <sheetView tabSelected="1" topLeftCell="A7" zoomScale="90" zoomScaleNormal="90" workbookViewId="0">
      <selection activeCell="K9" sqref="K9"/>
    </sheetView>
  </sheetViews>
  <sheetFormatPr defaultRowHeight="14.4" x14ac:dyDescent="0.3"/>
  <cols>
    <col min="1" max="1" width="12.5546875" style="3" bestFit="1" customWidth="1"/>
    <col min="2" max="2" width="11.6640625" style="3" bestFit="1" customWidth="1"/>
    <col min="3" max="4" width="8.88671875" style="3"/>
    <col min="5" max="5" width="12.5546875" style="3" bestFit="1" customWidth="1"/>
    <col min="6" max="6" width="11.6640625" style="3" bestFit="1" customWidth="1"/>
    <col min="7" max="7" width="8.88671875" style="3"/>
    <col min="9" max="9" width="12.5546875" customWidth="1"/>
    <col min="10" max="10" width="11.6640625" bestFit="1" customWidth="1"/>
    <col min="13" max="13" width="13.44140625" bestFit="1" customWidth="1"/>
    <col min="14" max="14" width="12.109375" bestFit="1" customWidth="1"/>
  </cols>
  <sheetData>
    <row r="1" spans="1:21" x14ac:dyDescent="0.3">
      <c r="A1" s="2" t="s">
        <v>0</v>
      </c>
      <c r="B1" s="2" t="s">
        <v>1</v>
      </c>
      <c r="C1" s="2" t="s">
        <v>2</v>
      </c>
      <c r="D1" s="2" t="s">
        <v>3</v>
      </c>
      <c r="E1" s="2" t="s">
        <v>4</v>
      </c>
      <c r="F1" s="2" t="s">
        <v>5</v>
      </c>
      <c r="G1" s="2" t="s">
        <v>6</v>
      </c>
    </row>
    <row r="2" spans="1:21" x14ac:dyDescent="0.3">
      <c r="A2" s="1">
        <v>1001</v>
      </c>
      <c r="B2" s="4">
        <v>46023</v>
      </c>
      <c r="C2" s="1" t="s">
        <v>7</v>
      </c>
      <c r="D2" s="1" t="s">
        <v>8</v>
      </c>
      <c r="E2" s="1" t="s">
        <v>9</v>
      </c>
      <c r="F2" s="1">
        <v>50000</v>
      </c>
      <c r="G2" s="1">
        <v>8000</v>
      </c>
      <c r="J2" s="5" t="s">
        <v>16</v>
      </c>
      <c r="K2" t="s">
        <v>18</v>
      </c>
      <c r="M2" s="5" t="s">
        <v>16</v>
      </c>
      <c r="N2" t="s">
        <v>18</v>
      </c>
      <c r="T2" s="5" t="s">
        <v>16</v>
      </c>
      <c r="U2" t="s">
        <v>18</v>
      </c>
    </row>
    <row r="3" spans="1:21" ht="64.8" x14ac:dyDescent="0.3">
      <c r="A3" s="1">
        <v>1002</v>
      </c>
      <c r="B3" s="4">
        <v>46024</v>
      </c>
      <c r="C3" s="1" t="s">
        <v>10</v>
      </c>
      <c r="D3" s="1" t="s">
        <v>8</v>
      </c>
      <c r="E3" s="1" t="s">
        <v>11</v>
      </c>
      <c r="F3" s="1">
        <v>30000</v>
      </c>
      <c r="G3" s="1">
        <v>5000</v>
      </c>
      <c r="I3" s="9" t="str">
        <f>" Total Sales : " &amp; F10</f>
        <v xml:space="preserve"> Total Sales : 250000</v>
      </c>
      <c r="J3" s="6" t="s">
        <v>12</v>
      </c>
      <c r="K3" s="7">
        <v>45000</v>
      </c>
      <c r="M3" s="6" t="s">
        <v>7</v>
      </c>
      <c r="N3" s="7">
        <v>120000</v>
      </c>
      <c r="P3" s="5" t="s">
        <v>16</v>
      </c>
      <c r="Q3" t="s">
        <v>18</v>
      </c>
      <c r="T3" s="8">
        <v>46023</v>
      </c>
      <c r="U3" s="7">
        <v>50000</v>
      </c>
    </row>
    <row r="4" spans="1:21" ht="64.8" x14ac:dyDescent="0.3">
      <c r="A4" s="1">
        <v>1003</v>
      </c>
      <c r="B4" s="4">
        <v>46025</v>
      </c>
      <c r="C4" s="1" t="s">
        <v>7</v>
      </c>
      <c r="D4" s="1" t="s">
        <v>12</v>
      </c>
      <c r="E4" s="1" t="s">
        <v>13</v>
      </c>
      <c r="F4" s="1">
        <v>10000</v>
      </c>
      <c r="G4" s="1">
        <v>2000</v>
      </c>
      <c r="I4" s="9" t="str">
        <f xml:space="preserve"> "Total Profit :" &amp; TEXT(SUM(G2:G9)," #,##0")</f>
        <v>Total Profit : 41,500</v>
      </c>
      <c r="J4" s="6" t="s">
        <v>8</v>
      </c>
      <c r="K4" s="7">
        <v>205000</v>
      </c>
      <c r="M4" s="6" t="s">
        <v>14</v>
      </c>
      <c r="N4" s="7">
        <v>65000</v>
      </c>
      <c r="P4" s="6" t="s">
        <v>13</v>
      </c>
      <c r="Q4" s="7">
        <v>25000</v>
      </c>
      <c r="T4" s="8">
        <v>46024</v>
      </c>
      <c r="U4" s="7">
        <v>30000</v>
      </c>
    </row>
    <row r="5" spans="1:21" ht="86.4" x14ac:dyDescent="0.3">
      <c r="A5" s="1">
        <v>1004</v>
      </c>
      <c r="B5" s="4">
        <v>46026</v>
      </c>
      <c r="C5" s="1" t="s">
        <v>14</v>
      </c>
      <c r="D5" s="1" t="s">
        <v>8</v>
      </c>
      <c r="E5" s="1" t="s">
        <v>9</v>
      </c>
      <c r="F5" s="1">
        <v>40000</v>
      </c>
      <c r="G5" s="1">
        <v>7000</v>
      </c>
      <c r="I5" s="9" t="str">
        <f>"Average Profit : "&amp;TEXT(AVERAGE(G2:G9),"#,##0")</f>
        <v>Average Profit : 5,188</v>
      </c>
      <c r="J5" s="6" t="s">
        <v>17</v>
      </c>
      <c r="K5" s="7">
        <v>250000</v>
      </c>
      <c r="M5" s="6" t="s">
        <v>10</v>
      </c>
      <c r="N5" s="7">
        <v>65000</v>
      </c>
      <c r="P5" s="6" t="s">
        <v>9</v>
      </c>
      <c r="Q5" s="7">
        <v>150000</v>
      </c>
      <c r="T5" s="8">
        <v>46025</v>
      </c>
      <c r="U5" s="7">
        <v>10000</v>
      </c>
    </row>
    <row r="6" spans="1:21" x14ac:dyDescent="0.3">
      <c r="A6" s="1">
        <v>1005</v>
      </c>
      <c r="B6" s="4">
        <v>46027</v>
      </c>
      <c r="C6" s="1" t="s">
        <v>10</v>
      </c>
      <c r="D6" s="1" t="s">
        <v>12</v>
      </c>
      <c r="E6" s="1" t="s">
        <v>15</v>
      </c>
      <c r="F6" s="1">
        <v>20000</v>
      </c>
      <c r="G6" s="1">
        <v>3000</v>
      </c>
      <c r="M6" s="6" t="s">
        <v>17</v>
      </c>
      <c r="N6" s="7">
        <v>250000</v>
      </c>
      <c r="P6" s="6" t="s">
        <v>11</v>
      </c>
      <c r="Q6" s="7">
        <v>55000</v>
      </c>
      <c r="T6" s="8">
        <v>46026</v>
      </c>
      <c r="U6" s="7">
        <v>40000</v>
      </c>
    </row>
    <row r="7" spans="1:21" x14ac:dyDescent="0.3">
      <c r="A7" s="1">
        <v>1006</v>
      </c>
      <c r="B7" s="4">
        <v>46028</v>
      </c>
      <c r="C7" s="1" t="s">
        <v>14</v>
      </c>
      <c r="D7" s="1" t="s">
        <v>8</v>
      </c>
      <c r="E7" s="1" t="s">
        <v>11</v>
      </c>
      <c r="F7" s="1">
        <v>25000</v>
      </c>
      <c r="G7" s="1">
        <v>4000</v>
      </c>
      <c r="P7" s="6" t="s">
        <v>15</v>
      </c>
      <c r="Q7" s="7">
        <v>20000</v>
      </c>
      <c r="T7" s="8">
        <v>46027</v>
      </c>
      <c r="U7" s="7">
        <v>20000</v>
      </c>
    </row>
    <row r="8" spans="1:21" x14ac:dyDescent="0.3">
      <c r="A8" s="1">
        <v>1007</v>
      </c>
      <c r="B8" s="4">
        <v>46029</v>
      </c>
      <c r="C8" s="1" t="s">
        <v>7</v>
      </c>
      <c r="D8" s="1" t="s">
        <v>8</v>
      </c>
      <c r="E8" s="1" t="s">
        <v>9</v>
      </c>
      <c r="F8" s="1">
        <v>60000</v>
      </c>
      <c r="G8" s="1">
        <v>10000</v>
      </c>
      <c r="P8" s="6" t="s">
        <v>17</v>
      </c>
      <c r="Q8" s="7">
        <v>250000</v>
      </c>
      <c r="T8" s="8">
        <v>46028</v>
      </c>
      <c r="U8" s="7">
        <v>25000</v>
      </c>
    </row>
    <row r="9" spans="1:21" x14ac:dyDescent="0.3">
      <c r="A9" s="1">
        <v>1008</v>
      </c>
      <c r="B9" s="4">
        <v>46030</v>
      </c>
      <c r="C9" s="1" t="s">
        <v>10</v>
      </c>
      <c r="D9" s="1" t="s">
        <v>12</v>
      </c>
      <c r="E9" s="1" t="s">
        <v>13</v>
      </c>
      <c r="F9" s="1">
        <v>15000</v>
      </c>
      <c r="G9" s="1">
        <v>2500</v>
      </c>
      <c r="T9" s="8">
        <v>46029</v>
      </c>
      <c r="U9" s="7">
        <v>60000</v>
      </c>
    </row>
    <row r="10" spans="1:21" x14ac:dyDescent="0.3">
      <c r="F10" s="3">
        <f>SUM(F2:F9)</f>
        <v>250000</v>
      </c>
      <c r="T10" s="8">
        <v>46030</v>
      </c>
      <c r="U10" s="7">
        <v>15000</v>
      </c>
    </row>
    <row r="11" spans="1:21" x14ac:dyDescent="0.3">
      <c r="T11" s="8" t="s">
        <v>17</v>
      </c>
      <c r="U11" s="7">
        <v>250000</v>
      </c>
    </row>
    <row r="12" spans="1:21" x14ac:dyDescent="0.3">
      <c r="C12"/>
    </row>
    <row r="13" spans="1:21" x14ac:dyDescent="0.3">
      <c r="C13"/>
      <c r="G13"/>
    </row>
    <row r="14" spans="1:21" x14ac:dyDescent="0.3">
      <c r="C14"/>
      <c r="G14"/>
    </row>
    <row r="15" spans="1:21" x14ac:dyDescent="0.3">
      <c r="C15"/>
      <c r="G15"/>
    </row>
    <row r="16" spans="1:21" x14ac:dyDescent="0.3">
      <c r="C16"/>
      <c r="G16"/>
    </row>
    <row r="17" spans="1:7" x14ac:dyDescent="0.3">
      <c r="C17"/>
      <c r="E17"/>
      <c r="F17"/>
      <c r="G17"/>
    </row>
    <row r="18" spans="1:7" x14ac:dyDescent="0.3">
      <c r="A18"/>
      <c r="B18"/>
      <c r="C18"/>
      <c r="E18"/>
      <c r="F18"/>
      <c r="G18"/>
    </row>
    <row r="19" spans="1:7" x14ac:dyDescent="0.3">
      <c r="A19"/>
      <c r="B19"/>
      <c r="C19"/>
      <c r="E19"/>
      <c r="F19"/>
      <c r="G19"/>
    </row>
    <row r="20" spans="1:7" x14ac:dyDescent="0.3">
      <c r="A20"/>
      <c r="B20"/>
      <c r="C20"/>
      <c r="E20"/>
      <c r="F20"/>
      <c r="G20"/>
    </row>
    <row r="21" spans="1:7" x14ac:dyDescent="0.3">
      <c r="A21"/>
      <c r="B21"/>
      <c r="C21"/>
      <c r="E21"/>
      <c r="F21"/>
      <c r="G21"/>
    </row>
    <row r="22" spans="1:7" x14ac:dyDescent="0.3">
      <c r="A22"/>
      <c r="B22"/>
      <c r="C22"/>
      <c r="E22"/>
      <c r="F22"/>
      <c r="G22"/>
    </row>
    <row r="23" spans="1:7" x14ac:dyDescent="0.3">
      <c r="A23"/>
      <c r="B23"/>
      <c r="C23"/>
      <c r="E23"/>
      <c r="F23"/>
      <c r="G23"/>
    </row>
    <row r="24" spans="1:7" x14ac:dyDescent="0.3">
      <c r="A24"/>
      <c r="B24"/>
      <c r="C24"/>
      <c r="E24"/>
      <c r="F24"/>
      <c r="G24"/>
    </row>
    <row r="25" spans="1:7" x14ac:dyDescent="0.3">
      <c r="A25"/>
      <c r="B25"/>
      <c r="C25"/>
      <c r="E25"/>
      <c r="F25"/>
      <c r="G25"/>
    </row>
    <row r="26" spans="1:7" x14ac:dyDescent="0.3">
      <c r="A26"/>
      <c r="B26"/>
      <c r="C26"/>
      <c r="E26"/>
      <c r="F26"/>
      <c r="G26"/>
    </row>
    <row r="27" spans="1:7" x14ac:dyDescent="0.3">
      <c r="A27"/>
      <c r="B27"/>
      <c r="C27"/>
      <c r="E27"/>
      <c r="F27"/>
      <c r="G27"/>
    </row>
    <row r="28" spans="1:7" x14ac:dyDescent="0.3">
      <c r="A28"/>
      <c r="B28"/>
      <c r="C28"/>
      <c r="E28"/>
      <c r="F28"/>
      <c r="G28"/>
    </row>
    <row r="29" spans="1:7" x14ac:dyDescent="0.3">
      <c r="A29"/>
      <c r="B29"/>
      <c r="C29"/>
      <c r="E29"/>
      <c r="F29"/>
      <c r="G29"/>
    </row>
    <row r="30" spans="1:7" x14ac:dyDescent="0.3">
      <c r="E30"/>
      <c r="F30"/>
      <c r="G30"/>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Jishnu Guttula</dc:creator>
  <cp:lastModifiedBy>Jishnu Guttula</cp:lastModifiedBy>
  <dcterms:created xsi:type="dcterms:W3CDTF">2026-03-26T12:54:01Z</dcterms:created>
  <dcterms:modified xsi:type="dcterms:W3CDTF">2026-03-26T15:04:26Z</dcterms:modified>
</cp:coreProperties>
</file>